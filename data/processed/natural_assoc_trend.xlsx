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tvault-my.sharepoint.com/personal/yxu899_gatech_edu/Documents/Data/EM-DAT the Emergency Events Database/fig.natural_assoc_trend/"/>
    </mc:Choice>
  </mc:AlternateContent>
  <xr:revisionPtr revIDLastSave="81" documentId="8_{81170132-EB99-9A44-8156-EE7F5E518F7B}" xr6:coauthVersionLast="47" xr6:coauthVersionMax="47" xr10:uidLastSave="{389BC8B3-5215-4C4B-B389-5A0886EC6EEF}"/>
  <bookViews>
    <workbookView xWindow="-120" yWindow="-120" windowWidth="29040" windowHeight="15720" activeTab="1" xr2:uid="{3ECCA74E-FB6D-6C4D-971B-5555482C59D1}"/>
  </bookViews>
  <sheets>
    <sheet name="Damage" sheetId="4" r:id="rId1"/>
    <sheet name="Count" sheetId="1" r:id="rId2"/>
    <sheet name="Death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4" l="1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" i="1"/>
</calcChain>
</file>

<file path=xl/sharedStrings.xml><?xml version="1.0" encoding="utf-8"?>
<sst xmlns="http://schemas.openxmlformats.org/spreadsheetml/2006/main" count="12" uniqueCount="6">
  <si>
    <t>Start Year</t>
  </si>
  <si>
    <t>Natural disasters with associated types</t>
  </si>
  <si>
    <t>Percentage (%)</t>
  </si>
  <si>
    <t>All natural disasters</t>
  </si>
  <si>
    <t>All recorded natural disasters</t>
  </si>
  <si>
    <t>Natural disasters involving associated hazard 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</si>
</sst>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Damage!$B$1</c:f>
              <c:strCache>
                <c:ptCount val="1"/>
                <c:pt idx="0">
                  <c:v>All recorded natural disasters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Damage!$A$2:$A$26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Damage!$B$2:$B$26</c:f>
              <c:numCache>
                <c:formatCode>General</c:formatCode>
                <c:ptCount val="25"/>
                <c:pt idx="0">
                  <c:v>85055662</c:v>
                </c:pt>
                <c:pt idx="1">
                  <c:v>47783947</c:v>
                </c:pt>
                <c:pt idx="2">
                  <c:v>89974622</c:v>
                </c:pt>
                <c:pt idx="3">
                  <c:v>119085118</c:v>
                </c:pt>
                <c:pt idx="4">
                  <c:v>226549305</c:v>
                </c:pt>
                <c:pt idx="5">
                  <c:v>344141301</c:v>
                </c:pt>
                <c:pt idx="6">
                  <c:v>53302787</c:v>
                </c:pt>
                <c:pt idx="7">
                  <c:v>112926079</c:v>
                </c:pt>
                <c:pt idx="8">
                  <c:v>278093353</c:v>
                </c:pt>
                <c:pt idx="9">
                  <c:v>68372966</c:v>
                </c:pt>
                <c:pt idx="10">
                  <c:v>190578062</c:v>
                </c:pt>
                <c:pt idx="11">
                  <c:v>507792254</c:v>
                </c:pt>
                <c:pt idx="12">
                  <c:v>214664595</c:v>
                </c:pt>
                <c:pt idx="13">
                  <c:v>162437557</c:v>
                </c:pt>
                <c:pt idx="14">
                  <c:v>129948472</c:v>
                </c:pt>
                <c:pt idx="15">
                  <c:v>115971628</c:v>
                </c:pt>
                <c:pt idx="16">
                  <c:v>243170531</c:v>
                </c:pt>
                <c:pt idx="17">
                  <c:v>418025817</c:v>
                </c:pt>
                <c:pt idx="18">
                  <c:v>166894313</c:v>
                </c:pt>
                <c:pt idx="19">
                  <c:v>123829049</c:v>
                </c:pt>
                <c:pt idx="20">
                  <c:v>213206450</c:v>
                </c:pt>
                <c:pt idx="21">
                  <c:v>298226554</c:v>
                </c:pt>
                <c:pt idx="22">
                  <c:v>241017176</c:v>
                </c:pt>
                <c:pt idx="23">
                  <c:v>209375921</c:v>
                </c:pt>
                <c:pt idx="24">
                  <c:v>241964117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AB-4453-9CAF-565259507642}"/>
            </c:ext>
          </c:extLst>
        </c:ser>
        <c:ser>
          <c:idx val="1"/>
          <c:order val="1"/>
          <c:tx>
            <c:strRef>
              <c:f>Damage!$C$1</c:f>
              <c:strCache>
                <c:ptCount val="1"/>
                <c:pt idx="0">
                  <c:v>Natural disasters involving associated hazard types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Damage!$A$2:$A$26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Damage!$C$2:$C$26</c:f>
              <c:numCache>
                <c:formatCode>General</c:formatCode>
                <c:ptCount val="25"/>
                <c:pt idx="0">
                  <c:v>33608736</c:v>
                </c:pt>
                <c:pt idx="1">
                  <c:v>17467304</c:v>
                </c:pt>
                <c:pt idx="2">
                  <c:v>25579682</c:v>
                </c:pt>
                <c:pt idx="3">
                  <c:v>75939731</c:v>
                </c:pt>
                <c:pt idx="4">
                  <c:v>124362826</c:v>
                </c:pt>
                <c:pt idx="5">
                  <c:v>303820889</c:v>
                </c:pt>
                <c:pt idx="6">
                  <c:v>41965413</c:v>
                </c:pt>
                <c:pt idx="7">
                  <c:v>57639753</c:v>
                </c:pt>
                <c:pt idx="8">
                  <c:v>237040896</c:v>
                </c:pt>
                <c:pt idx="9">
                  <c:v>41709777</c:v>
                </c:pt>
                <c:pt idx="10">
                  <c:v>71768482</c:v>
                </c:pt>
                <c:pt idx="11">
                  <c:v>127372999</c:v>
                </c:pt>
                <c:pt idx="12">
                  <c:v>117762180</c:v>
                </c:pt>
                <c:pt idx="13">
                  <c:v>73017043</c:v>
                </c:pt>
                <c:pt idx="14">
                  <c:v>80561890</c:v>
                </c:pt>
                <c:pt idx="15">
                  <c:v>45277550</c:v>
                </c:pt>
                <c:pt idx="16">
                  <c:v>100145473</c:v>
                </c:pt>
                <c:pt idx="17">
                  <c:v>351765042</c:v>
                </c:pt>
                <c:pt idx="18">
                  <c:v>102569763</c:v>
                </c:pt>
                <c:pt idx="19">
                  <c:v>82001802</c:v>
                </c:pt>
                <c:pt idx="20">
                  <c:v>72719312</c:v>
                </c:pt>
                <c:pt idx="21">
                  <c:v>197214277</c:v>
                </c:pt>
                <c:pt idx="22">
                  <c:v>193859037</c:v>
                </c:pt>
                <c:pt idx="23">
                  <c:v>124319688</c:v>
                </c:pt>
                <c:pt idx="24">
                  <c:v>210967753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AB-4453-9CAF-565259507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336928224"/>
        <c:axId val="336930704"/>
      </c:barChart>
      <c:catAx>
        <c:axId val="336928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336930704"/>
        <c:crosses val="autoZero"/>
        <c:auto val="1"/>
        <c:lblAlgn val="ctr"/>
        <c:lblOffset val="100"/>
        <c:noMultiLvlLbl val="0"/>
      </c:catAx>
      <c:valAx>
        <c:axId val="33693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/>
                  <a:t>Total damage (Adjusted)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336928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>
          <a:latin typeface="helvetica" panose="020B0604020202020204" pitchFamily="34" charset="0"/>
          <a:cs typeface="helvetica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Damage!$D$1</c:f>
              <c:strCache>
                <c:ptCount val="1"/>
                <c:pt idx="0">
                  <c:v>Percentage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317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Damage!$A$2:$A$26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Damage!$D$2:$D$26</c:f>
              <c:numCache>
                <c:formatCode>General</c:formatCode>
                <c:ptCount val="25"/>
                <c:pt idx="0">
                  <c:v>0.39513813906944845</c:v>
                </c:pt>
                <c:pt idx="1">
                  <c:v>0.36554753419595076</c:v>
                </c:pt>
                <c:pt idx="2">
                  <c:v>0.28429885484820377</c:v>
                </c:pt>
                <c:pt idx="3">
                  <c:v>0.63769287275677888</c:v>
                </c:pt>
                <c:pt idx="4">
                  <c:v>0.54894375420838304</c:v>
                </c:pt>
                <c:pt idx="5">
                  <c:v>0.88283762546710431</c:v>
                </c:pt>
                <c:pt idx="6">
                  <c:v>0.78730241628828901</c:v>
                </c:pt>
                <c:pt idx="7">
                  <c:v>0.51042021037496577</c:v>
                </c:pt>
                <c:pt idx="8">
                  <c:v>0.85237886286336373</c:v>
                </c:pt>
                <c:pt idx="9">
                  <c:v>0.61003316720237055</c:v>
                </c:pt>
                <c:pt idx="10">
                  <c:v>0.37658312424228557</c:v>
                </c:pt>
                <c:pt idx="11">
                  <c:v>0.25083682942512942</c:v>
                </c:pt>
                <c:pt idx="12">
                  <c:v>0.54858687805504214</c:v>
                </c:pt>
                <c:pt idx="13">
                  <c:v>0.4495083793952897</c:v>
                </c:pt>
                <c:pt idx="14">
                  <c:v>0.61995257627961953</c:v>
                </c:pt>
                <c:pt idx="15">
                  <c:v>0.39041919804730169</c:v>
                </c:pt>
                <c:pt idx="16">
                  <c:v>0.41183227502184466</c:v>
                </c:pt>
                <c:pt idx="17">
                  <c:v>0.84149118952622015</c:v>
                </c:pt>
                <c:pt idx="18">
                  <c:v>0.6145791378763158</c:v>
                </c:pt>
                <c:pt idx="19">
                  <c:v>0.66221781288169301</c:v>
                </c:pt>
                <c:pt idx="20">
                  <c:v>0.34107463446814107</c:v>
                </c:pt>
                <c:pt idx="21">
                  <c:v>0.66129013112628465</c:v>
                </c:pt>
                <c:pt idx="22">
                  <c:v>0.80433701953258308</c:v>
                </c:pt>
                <c:pt idx="23">
                  <c:v>0.593763062181348</c:v>
                </c:pt>
                <c:pt idx="24">
                  <c:v>0.87189685650785975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09-45AA-B883-B6427BAEA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6687503"/>
        <c:axId val="1456683663"/>
      </c:lineChart>
      <c:catAx>
        <c:axId val="14566875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1456683663"/>
        <c:crosses val="autoZero"/>
        <c:auto val="1"/>
        <c:lblAlgn val="ctr"/>
        <c:lblOffset val="100"/>
        <c:noMultiLvlLbl val="0"/>
      </c:catAx>
      <c:valAx>
        <c:axId val="145668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/>
                  <a:t>Percentage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1456687503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>
          <a:latin typeface="helvetica" panose="020B0604020202020204" pitchFamily="34" charset="0"/>
          <a:cs typeface="helvetica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Count!$B$1</c:f>
              <c:strCache>
                <c:ptCount val="1"/>
                <c:pt idx="0">
                  <c:v>All recorded natural disasters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Count!$A$2:$A$26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Count!$B$2:$B$26</c:f>
              <c:numCache>
                <c:formatCode>General</c:formatCode>
                <c:ptCount val="25"/>
                <c:pt idx="0">
                  <c:v>500</c:v>
                </c:pt>
                <c:pt idx="1">
                  <c:v>430</c:v>
                </c:pt>
                <c:pt idx="2">
                  <c:v>488</c:v>
                </c:pt>
                <c:pt idx="3">
                  <c:v>386</c:v>
                </c:pt>
                <c:pt idx="4">
                  <c:v>393</c:v>
                </c:pt>
                <c:pt idx="5">
                  <c:v>483</c:v>
                </c:pt>
                <c:pt idx="6">
                  <c:v>459</c:v>
                </c:pt>
                <c:pt idx="7">
                  <c:v>445</c:v>
                </c:pt>
                <c:pt idx="8">
                  <c:v>389</c:v>
                </c:pt>
                <c:pt idx="9">
                  <c:v>388</c:v>
                </c:pt>
                <c:pt idx="10">
                  <c:v>432</c:v>
                </c:pt>
                <c:pt idx="11">
                  <c:v>354</c:v>
                </c:pt>
                <c:pt idx="12">
                  <c:v>371</c:v>
                </c:pt>
                <c:pt idx="13">
                  <c:v>355</c:v>
                </c:pt>
                <c:pt idx="14">
                  <c:v>342</c:v>
                </c:pt>
                <c:pt idx="15">
                  <c:v>397</c:v>
                </c:pt>
                <c:pt idx="16">
                  <c:v>349</c:v>
                </c:pt>
                <c:pt idx="17">
                  <c:v>371</c:v>
                </c:pt>
                <c:pt idx="18">
                  <c:v>335</c:v>
                </c:pt>
                <c:pt idx="19">
                  <c:v>436</c:v>
                </c:pt>
                <c:pt idx="20">
                  <c:v>411</c:v>
                </c:pt>
                <c:pt idx="21">
                  <c:v>438</c:v>
                </c:pt>
                <c:pt idx="22">
                  <c:v>436</c:v>
                </c:pt>
                <c:pt idx="23">
                  <c:v>460</c:v>
                </c:pt>
                <c:pt idx="24">
                  <c:v>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CC-F240-A69C-65238DC0167A}"/>
            </c:ext>
          </c:extLst>
        </c:ser>
        <c:ser>
          <c:idx val="1"/>
          <c:order val="1"/>
          <c:tx>
            <c:strRef>
              <c:f>Count!$C$1</c:f>
              <c:strCache>
                <c:ptCount val="1"/>
                <c:pt idx="0">
                  <c:v>Natural disasters involving associated hazard types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Count!$A$2:$A$26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Count!$C$2:$C$26</c:f>
              <c:numCache>
                <c:formatCode>General</c:formatCode>
                <c:ptCount val="25"/>
                <c:pt idx="0">
                  <c:v>51</c:v>
                </c:pt>
                <c:pt idx="1">
                  <c:v>29</c:v>
                </c:pt>
                <c:pt idx="2">
                  <c:v>53</c:v>
                </c:pt>
                <c:pt idx="3">
                  <c:v>123</c:v>
                </c:pt>
                <c:pt idx="4">
                  <c:v>130</c:v>
                </c:pt>
                <c:pt idx="5">
                  <c:v>162</c:v>
                </c:pt>
                <c:pt idx="6">
                  <c:v>132</c:v>
                </c:pt>
                <c:pt idx="7">
                  <c:v>154</c:v>
                </c:pt>
                <c:pt idx="8">
                  <c:v>133</c:v>
                </c:pt>
                <c:pt idx="9">
                  <c:v>105</c:v>
                </c:pt>
                <c:pt idx="10">
                  <c:v>102</c:v>
                </c:pt>
                <c:pt idx="11">
                  <c:v>89</c:v>
                </c:pt>
                <c:pt idx="12">
                  <c:v>82</c:v>
                </c:pt>
                <c:pt idx="13">
                  <c:v>84</c:v>
                </c:pt>
                <c:pt idx="14">
                  <c:v>112</c:v>
                </c:pt>
                <c:pt idx="15">
                  <c:v>122</c:v>
                </c:pt>
                <c:pt idx="16">
                  <c:v>109</c:v>
                </c:pt>
                <c:pt idx="17">
                  <c:v>145</c:v>
                </c:pt>
                <c:pt idx="18">
                  <c:v>108</c:v>
                </c:pt>
                <c:pt idx="19">
                  <c:v>120</c:v>
                </c:pt>
                <c:pt idx="20">
                  <c:v>132</c:v>
                </c:pt>
                <c:pt idx="21">
                  <c:v>168</c:v>
                </c:pt>
                <c:pt idx="22">
                  <c:v>144</c:v>
                </c:pt>
                <c:pt idx="23">
                  <c:v>159</c:v>
                </c:pt>
                <c:pt idx="24">
                  <c:v>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CC-F240-A69C-65238DC01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336928224"/>
        <c:axId val="336930704"/>
      </c:barChart>
      <c:catAx>
        <c:axId val="336928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336930704"/>
        <c:crosses val="autoZero"/>
        <c:auto val="1"/>
        <c:lblAlgn val="ctr"/>
        <c:lblOffset val="100"/>
        <c:noMultiLvlLbl val="0"/>
      </c:catAx>
      <c:valAx>
        <c:axId val="33693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/>
                  <a:t>Numbers of disasters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336928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>
          <a:latin typeface="helvetica" panose="020B0604020202020204" pitchFamily="34" charset="0"/>
          <a:cs typeface="helvetica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Count!$D$1</c:f>
              <c:strCache>
                <c:ptCount val="1"/>
                <c:pt idx="0">
                  <c:v>Percentage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317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Count!$A$2:$A$26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Count!$D$2:$D$26</c:f>
              <c:numCache>
                <c:formatCode>General</c:formatCode>
                <c:ptCount val="25"/>
                <c:pt idx="0">
                  <c:v>0.10199999999999999</c:v>
                </c:pt>
                <c:pt idx="1">
                  <c:v>6.7441860465116285E-2</c:v>
                </c:pt>
                <c:pt idx="2">
                  <c:v>0.10860655737704918</c:v>
                </c:pt>
                <c:pt idx="3">
                  <c:v>0.31865284974093266</c:v>
                </c:pt>
                <c:pt idx="4">
                  <c:v>0.33078880407124683</c:v>
                </c:pt>
                <c:pt idx="5">
                  <c:v>0.33540372670807456</c:v>
                </c:pt>
                <c:pt idx="6">
                  <c:v>0.28758169934640521</c:v>
                </c:pt>
                <c:pt idx="7">
                  <c:v>0.34606741573033706</c:v>
                </c:pt>
                <c:pt idx="8">
                  <c:v>0.34190231362467866</c:v>
                </c:pt>
                <c:pt idx="9">
                  <c:v>0.27061855670103091</c:v>
                </c:pt>
                <c:pt idx="10">
                  <c:v>0.2361111111111111</c:v>
                </c:pt>
                <c:pt idx="11">
                  <c:v>0.25141242937853109</c:v>
                </c:pt>
                <c:pt idx="12">
                  <c:v>0.22102425876010781</c:v>
                </c:pt>
                <c:pt idx="13">
                  <c:v>0.23661971830985915</c:v>
                </c:pt>
                <c:pt idx="14">
                  <c:v>0.32748538011695905</c:v>
                </c:pt>
                <c:pt idx="15">
                  <c:v>0.30730478589420657</c:v>
                </c:pt>
                <c:pt idx="16">
                  <c:v>0.31232091690544411</c:v>
                </c:pt>
                <c:pt idx="17">
                  <c:v>0.39083557951482478</c:v>
                </c:pt>
                <c:pt idx="18">
                  <c:v>0.32238805970149254</c:v>
                </c:pt>
                <c:pt idx="19">
                  <c:v>0.27522935779816515</c:v>
                </c:pt>
                <c:pt idx="20">
                  <c:v>0.32116788321167883</c:v>
                </c:pt>
                <c:pt idx="21">
                  <c:v>0.38356164383561642</c:v>
                </c:pt>
                <c:pt idx="22">
                  <c:v>0.33027522935779818</c:v>
                </c:pt>
                <c:pt idx="23">
                  <c:v>0.34565217391304348</c:v>
                </c:pt>
                <c:pt idx="24">
                  <c:v>0.39455782312925169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71-4BF9-9AC8-3BE49E8F1E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6687503"/>
        <c:axId val="1456683663"/>
      </c:lineChart>
      <c:catAx>
        <c:axId val="14566875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1456683663"/>
        <c:crosses val="autoZero"/>
        <c:auto val="1"/>
        <c:lblAlgn val="ctr"/>
        <c:lblOffset val="100"/>
        <c:noMultiLvlLbl val="0"/>
      </c:catAx>
      <c:valAx>
        <c:axId val="145668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/>
                  <a:t>Percentage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1456687503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>
          <a:latin typeface="helvetica" panose="020B0604020202020204" pitchFamily="34" charset="0"/>
          <a:cs typeface="helvetica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505198</xdr:colOff>
      <xdr:row>0</xdr:row>
      <xdr:rowOff>174438</xdr:rowOff>
    </xdr:from>
    <xdr:to>
      <xdr:col>16</xdr:col>
      <xdr:colOff>803648</xdr:colOff>
      <xdr:row>30</xdr:row>
      <xdr:rowOff>25213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B821ED-A673-404C-A34A-40D245AFF2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224518</xdr:colOff>
      <xdr:row>0</xdr:row>
      <xdr:rowOff>172808</xdr:rowOff>
    </xdr:from>
    <xdr:to>
      <xdr:col>29</xdr:col>
      <xdr:colOff>524964</xdr:colOff>
      <xdr:row>30</xdr:row>
      <xdr:rowOff>20626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BE4889-7D56-4B81-9E2D-55B9936A86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332015</xdr:colOff>
      <xdr:row>20</xdr:row>
      <xdr:rowOff>18574</xdr:rowOff>
    </xdr:from>
    <xdr:to>
      <xdr:col>36</xdr:col>
      <xdr:colOff>780903</xdr:colOff>
      <xdr:row>48</xdr:row>
      <xdr:rowOff>170697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FAA500-3530-4EB3-EC9A-BE78642BD7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224518</xdr:colOff>
      <xdr:row>0</xdr:row>
      <xdr:rowOff>172808</xdr:rowOff>
    </xdr:from>
    <xdr:to>
      <xdr:col>29</xdr:col>
      <xdr:colOff>673406</xdr:colOff>
      <xdr:row>29</xdr:row>
      <xdr:rowOff>117113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C4DFE92-9667-9CBB-6F02-11235C827B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86036-FCAB-448C-BE27-213B5857CC0D}">
  <dimension ref="A1:D26"/>
  <sheetViews>
    <sheetView topLeftCell="G1" zoomScale="70" zoomScaleNormal="70" workbookViewId="0">
      <selection activeCell="S35" sqref="S35"/>
    </sheetView>
  </sheetViews>
  <sheetFormatPr defaultColWidth="11" defaultRowHeight="15.75"/>
  <cols>
    <col min="1" max="1" width="9.5" bestFit="1" customWidth="1"/>
    <col min="2" max="2" width="34.625" bestFit="1" customWidth="1"/>
    <col min="3" max="3" width="32" bestFit="1" customWidth="1"/>
    <col min="4" max="4" width="12.75" bestFit="1" customWidth="1"/>
  </cols>
  <sheetData>
    <row r="1" spans="1:4">
      <c r="A1" s="1" t="s">
        <v>0</v>
      </c>
      <c r="B1" s="1" t="s">
        <v>4</v>
      </c>
      <c r="C1" s="1" t="s">
        <v>5</v>
      </c>
      <c r="D1" s="1" t="s">
        <v>2</v>
      </c>
    </row>
    <row r="2" spans="1:4">
      <c r="A2" s="1">
        <v>2000</v>
      </c>
      <c r="B2">
        <v>85055662</v>
      </c>
      <c r="C2">
        <v>33608736</v>
      </c>
      <c r="D2" s="2">
        <f>C2/B2</f>
        <v>0.39513813906944845</v>
      </c>
    </row>
    <row r="3" spans="1:4">
      <c r="A3" s="1">
        <v>2001</v>
      </c>
      <c r="B3">
        <v>47783947</v>
      </c>
      <c r="C3">
        <v>17467304</v>
      </c>
      <c r="D3" s="2">
        <f t="shared" ref="D3:D26" si="0">C3/B3</f>
        <v>0.36554753419595076</v>
      </c>
    </row>
    <row r="4" spans="1:4">
      <c r="A4" s="1">
        <v>2002</v>
      </c>
      <c r="B4">
        <v>89974622</v>
      </c>
      <c r="C4">
        <v>25579682</v>
      </c>
      <c r="D4" s="2">
        <f t="shared" si="0"/>
        <v>0.28429885484820377</v>
      </c>
    </row>
    <row r="5" spans="1:4">
      <c r="A5" s="1">
        <v>2003</v>
      </c>
      <c r="B5">
        <v>119085118</v>
      </c>
      <c r="C5">
        <v>75939731</v>
      </c>
      <c r="D5" s="2">
        <f t="shared" si="0"/>
        <v>0.63769287275677888</v>
      </c>
    </row>
    <row r="6" spans="1:4">
      <c r="A6" s="1">
        <v>2004</v>
      </c>
      <c r="B6">
        <v>226549305</v>
      </c>
      <c r="C6">
        <v>124362826</v>
      </c>
      <c r="D6" s="2">
        <f t="shared" si="0"/>
        <v>0.54894375420838304</v>
      </c>
    </row>
    <row r="7" spans="1:4">
      <c r="A7" s="1">
        <v>2005</v>
      </c>
      <c r="B7">
        <v>344141301</v>
      </c>
      <c r="C7">
        <v>303820889</v>
      </c>
      <c r="D7" s="2">
        <f t="shared" si="0"/>
        <v>0.88283762546710431</v>
      </c>
    </row>
    <row r="8" spans="1:4">
      <c r="A8" s="1">
        <v>2006</v>
      </c>
      <c r="B8">
        <v>53302787</v>
      </c>
      <c r="C8">
        <v>41965413</v>
      </c>
      <c r="D8" s="2">
        <f t="shared" si="0"/>
        <v>0.78730241628828901</v>
      </c>
    </row>
    <row r="9" spans="1:4">
      <c r="A9" s="1">
        <v>2007</v>
      </c>
      <c r="B9">
        <v>112926079</v>
      </c>
      <c r="C9">
        <v>57639753</v>
      </c>
      <c r="D9" s="2">
        <f t="shared" si="0"/>
        <v>0.51042021037496577</v>
      </c>
    </row>
    <row r="10" spans="1:4">
      <c r="A10" s="1">
        <v>2008</v>
      </c>
      <c r="B10">
        <v>278093353</v>
      </c>
      <c r="C10">
        <v>237040896</v>
      </c>
      <c r="D10" s="2">
        <f t="shared" si="0"/>
        <v>0.85237886286336373</v>
      </c>
    </row>
    <row r="11" spans="1:4">
      <c r="A11" s="1">
        <v>2009</v>
      </c>
      <c r="B11">
        <v>68372966</v>
      </c>
      <c r="C11">
        <v>41709777</v>
      </c>
      <c r="D11" s="2">
        <f t="shared" si="0"/>
        <v>0.61003316720237055</v>
      </c>
    </row>
    <row r="12" spans="1:4">
      <c r="A12" s="1">
        <v>2010</v>
      </c>
      <c r="B12">
        <v>190578062</v>
      </c>
      <c r="C12">
        <v>71768482</v>
      </c>
      <c r="D12" s="2">
        <f t="shared" si="0"/>
        <v>0.37658312424228557</v>
      </c>
    </row>
    <row r="13" spans="1:4">
      <c r="A13" s="1">
        <v>2011</v>
      </c>
      <c r="B13">
        <v>507792254</v>
      </c>
      <c r="C13">
        <v>127372999</v>
      </c>
      <c r="D13" s="2">
        <f t="shared" si="0"/>
        <v>0.25083682942512942</v>
      </c>
    </row>
    <row r="14" spans="1:4">
      <c r="A14" s="1">
        <v>2012</v>
      </c>
      <c r="B14">
        <v>214664595</v>
      </c>
      <c r="C14">
        <v>117762180</v>
      </c>
      <c r="D14" s="2">
        <f t="shared" si="0"/>
        <v>0.54858687805504214</v>
      </c>
    </row>
    <row r="15" spans="1:4">
      <c r="A15" s="1">
        <v>2013</v>
      </c>
      <c r="B15">
        <v>162437557</v>
      </c>
      <c r="C15">
        <v>73017043</v>
      </c>
      <c r="D15" s="2">
        <f t="shared" si="0"/>
        <v>0.4495083793952897</v>
      </c>
    </row>
    <row r="16" spans="1:4">
      <c r="A16" s="1">
        <v>2014</v>
      </c>
      <c r="B16">
        <v>129948472</v>
      </c>
      <c r="C16">
        <v>80561890</v>
      </c>
      <c r="D16" s="2">
        <f t="shared" si="0"/>
        <v>0.61995257627961953</v>
      </c>
    </row>
    <row r="17" spans="1:4">
      <c r="A17" s="1">
        <v>2015</v>
      </c>
      <c r="B17">
        <v>115971628</v>
      </c>
      <c r="C17">
        <v>45277550</v>
      </c>
      <c r="D17" s="2">
        <f t="shared" si="0"/>
        <v>0.39041919804730169</v>
      </c>
    </row>
    <row r="18" spans="1:4">
      <c r="A18" s="1">
        <v>2016</v>
      </c>
      <c r="B18">
        <v>243170531</v>
      </c>
      <c r="C18">
        <v>100145473</v>
      </c>
      <c r="D18" s="2">
        <f t="shared" si="0"/>
        <v>0.41183227502184466</v>
      </c>
    </row>
    <row r="19" spans="1:4">
      <c r="A19" s="1">
        <v>2017</v>
      </c>
      <c r="B19">
        <v>418025817</v>
      </c>
      <c r="C19">
        <v>351765042</v>
      </c>
      <c r="D19" s="2">
        <f t="shared" si="0"/>
        <v>0.84149118952622015</v>
      </c>
    </row>
    <row r="20" spans="1:4">
      <c r="A20" s="1">
        <v>2018</v>
      </c>
      <c r="B20">
        <v>166894313</v>
      </c>
      <c r="C20">
        <v>102569763</v>
      </c>
      <c r="D20" s="2">
        <f t="shared" si="0"/>
        <v>0.6145791378763158</v>
      </c>
    </row>
    <row r="21" spans="1:4">
      <c r="A21" s="1">
        <v>2019</v>
      </c>
      <c r="B21">
        <v>123829049</v>
      </c>
      <c r="C21">
        <v>82001802</v>
      </c>
      <c r="D21" s="2">
        <f t="shared" si="0"/>
        <v>0.66221781288169301</v>
      </c>
    </row>
    <row r="22" spans="1:4">
      <c r="A22" s="1">
        <v>2020</v>
      </c>
      <c r="B22">
        <v>213206450</v>
      </c>
      <c r="C22">
        <v>72719312</v>
      </c>
      <c r="D22" s="2">
        <f t="shared" si="0"/>
        <v>0.34107463446814107</v>
      </c>
    </row>
    <row r="23" spans="1:4">
      <c r="A23" s="1">
        <v>2021</v>
      </c>
      <c r="B23">
        <v>298226554</v>
      </c>
      <c r="C23">
        <v>197214277</v>
      </c>
      <c r="D23" s="2">
        <f t="shared" si="0"/>
        <v>0.66129013112628465</v>
      </c>
    </row>
    <row r="24" spans="1:4">
      <c r="A24" s="1">
        <v>2022</v>
      </c>
      <c r="B24">
        <v>241017176</v>
      </c>
      <c r="C24">
        <v>193859037</v>
      </c>
      <c r="D24" s="2">
        <f t="shared" si="0"/>
        <v>0.80433701953258308</v>
      </c>
    </row>
    <row r="25" spans="1:4">
      <c r="A25" s="1">
        <v>2023</v>
      </c>
      <c r="B25">
        <v>209375921</v>
      </c>
      <c r="C25">
        <v>124319688</v>
      </c>
      <c r="D25" s="2">
        <f t="shared" si="0"/>
        <v>0.593763062181348</v>
      </c>
    </row>
    <row r="26" spans="1:4">
      <c r="A26" s="1">
        <v>2024</v>
      </c>
      <c r="B26">
        <v>241964117</v>
      </c>
      <c r="C26">
        <v>210967753</v>
      </c>
      <c r="D26" s="2">
        <f t="shared" si="0"/>
        <v>0.87189685650785975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923CD-549A-9247-B48D-1CE8B736D85C}">
  <dimension ref="A1:D26"/>
  <sheetViews>
    <sheetView tabSelected="1" zoomScaleNormal="100" workbookViewId="0">
      <selection activeCell="G16" sqref="G16"/>
    </sheetView>
  </sheetViews>
  <sheetFormatPr defaultColWidth="11" defaultRowHeight="15.75"/>
  <cols>
    <col min="1" max="1" width="9.5" bestFit="1" customWidth="1"/>
    <col min="2" max="2" width="34.625" bestFit="1" customWidth="1"/>
    <col min="3" max="3" width="32" bestFit="1" customWidth="1"/>
    <col min="4" max="4" width="12.75" bestFit="1" customWidth="1"/>
  </cols>
  <sheetData>
    <row r="1" spans="1:4">
      <c r="A1" s="1" t="s">
        <v>0</v>
      </c>
      <c r="B1" s="1" t="s">
        <v>4</v>
      </c>
      <c r="C1" s="1" t="s">
        <v>5</v>
      </c>
      <c r="D1" s="1" t="s">
        <v>2</v>
      </c>
    </row>
    <row r="2" spans="1:4">
      <c r="A2" s="1">
        <v>2000</v>
      </c>
      <c r="B2" s="2">
        <v>500</v>
      </c>
      <c r="C2" s="2">
        <v>51</v>
      </c>
      <c r="D2" s="2">
        <f>C2/B2</f>
        <v>0.10199999999999999</v>
      </c>
    </row>
    <row r="3" spans="1:4">
      <c r="A3" s="1">
        <v>2001</v>
      </c>
      <c r="B3" s="2">
        <v>430</v>
      </c>
      <c r="C3" s="2">
        <v>29</v>
      </c>
      <c r="D3" s="2">
        <f t="shared" ref="D3:D26" si="0">C3/B3</f>
        <v>6.7441860465116285E-2</v>
      </c>
    </row>
    <row r="4" spans="1:4">
      <c r="A4" s="1">
        <v>2002</v>
      </c>
      <c r="B4" s="2">
        <v>488</v>
      </c>
      <c r="C4" s="2">
        <v>53</v>
      </c>
      <c r="D4" s="2">
        <f t="shared" si="0"/>
        <v>0.10860655737704918</v>
      </c>
    </row>
    <row r="5" spans="1:4">
      <c r="A5" s="1">
        <v>2003</v>
      </c>
      <c r="B5" s="2">
        <v>386</v>
      </c>
      <c r="C5" s="2">
        <v>123</v>
      </c>
      <c r="D5" s="2">
        <f t="shared" si="0"/>
        <v>0.31865284974093266</v>
      </c>
    </row>
    <row r="6" spans="1:4">
      <c r="A6" s="1">
        <v>2004</v>
      </c>
      <c r="B6" s="2">
        <v>393</v>
      </c>
      <c r="C6" s="2">
        <v>130</v>
      </c>
      <c r="D6" s="2">
        <f t="shared" si="0"/>
        <v>0.33078880407124683</v>
      </c>
    </row>
    <row r="7" spans="1:4">
      <c r="A7" s="1">
        <v>2005</v>
      </c>
      <c r="B7" s="2">
        <v>483</v>
      </c>
      <c r="C7" s="2">
        <v>162</v>
      </c>
      <c r="D7" s="2">
        <f t="shared" si="0"/>
        <v>0.33540372670807456</v>
      </c>
    </row>
    <row r="8" spans="1:4">
      <c r="A8" s="1">
        <v>2006</v>
      </c>
      <c r="B8" s="2">
        <v>459</v>
      </c>
      <c r="C8" s="2">
        <v>132</v>
      </c>
      <c r="D8" s="2">
        <f t="shared" si="0"/>
        <v>0.28758169934640521</v>
      </c>
    </row>
    <row r="9" spans="1:4">
      <c r="A9" s="1">
        <v>2007</v>
      </c>
      <c r="B9" s="2">
        <v>445</v>
      </c>
      <c r="C9" s="2">
        <v>154</v>
      </c>
      <c r="D9" s="2">
        <f t="shared" si="0"/>
        <v>0.34606741573033706</v>
      </c>
    </row>
    <row r="10" spans="1:4">
      <c r="A10" s="1">
        <v>2008</v>
      </c>
      <c r="B10" s="2">
        <v>389</v>
      </c>
      <c r="C10" s="2">
        <v>133</v>
      </c>
      <c r="D10" s="2">
        <f t="shared" si="0"/>
        <v>0.34190231362467866</v>
      </c>
    </row>
    <row r="11" spans="1:4">
      <c r="A11" s="1">
        <v>2009</v>
      </c>
      <c r="B11" s="2">
        <v>388</v>
      </c>
      <c r="C11" s="2">
        <v>105</v>
      </c>
      <c r="D11" s="2">
        <f t="shared" si="0"/>
        <v>0.27061855670103091</v>
      </c>
    </row>
    <row r="12" spans="1:4">
      <c r="A12" s="1">
        <v>2010</v>
      </c>
      <c r="B12" s="2">
        <v>432</v>
      </c>
      <c r="C12" s="2">
        <v>102</v>
      </c>
      <c r="D12" s="2">
        <f t="shared" si="0"/>
        <v>0.2361111111111111</v>
      </c>
    </row>
    <row r="13" spans="1:4">
      <c r="A13" s="1">
        <v>2011</v>
      </c>
      <c r="B13" s="2">
        <v>354</v>
      </c>
      <c r="C13" s="2">
        <v>89</v>
      </c>
      <c r="D13" s="2">
        <f t="shared" si="0"/>
        <v>0.25141242937853109</v>
      </c>
    </row>
    <row r="14" spans="1:4">
      <c r="A14" s="1">
        <v>2012</v>
      </c>
      <c r="B14" s="2">
        <v>371</v>
      </c>
      <c r="C14" s="2">
        <v>82</v>
      </c>
      <c r="D14" s="2">
        <f t="shared" si="0"/>
        <v>0.22102425876010781</v>
      </c>
    </row>
    <row r="15" spans="1:4">
      <c r="A15" s="1">
        <v>2013</v>
      </c>
      <c r="B15" s="2">
        <v>355</v>
      </c>
      <c r="C15" s="2">
        <v>84</v>
      </c>
      <c r="D15" s="2">
        <f t="shared" si="0"/>
        <v>0.23661971830985915</v>
      </c>
    </row>
    <row r="16" spans="1:4">
      <c r="A16" s="1">
        <v>2014</v>
      </c>
      <c r="B16" s="2">
        <v>342</v>
      </c>
      <c r="C16" s="2">
        <v>112</v>
      </c>
      <c r="D16" s="2">
        <f t="shared" si="0"/>
        <v>0.32748538011695905</v>
      </c>
    </row>
    <row r="17" spans="1:4">
      <c r="A17" s="1">
        <v>2015</v>
      </c>
      <c r="B17" s="2">
        <v>397</v>
      </c>
      <c r="C17" s="2">
        <v>122</v>
      </c>
      <c r="D17" s="2">
        <f t="shared" si="0"/>
        <v>0.30730478589420657</v>
      </c>
    </row>
    <row r="18" spans="1:4">
      <c r="A18" s="1">
        <v>2016</v>
      </c>
      <c r="B18" s="2">
        <v>349</v>
      </c>
      <c r="C18" s="2">
        <v>109</v>
      </c>
      <c r="D18" s="2">
        <f t="shared" si="0"/>
        <v>0.31232091690544411</v>
      </c>
    </row>
    <row r="19" spans="1:4">
      <c r="A19" s="1">
        <v>2017</v>
      </c>
      <c r="B19" s="2">
        <v>371</v>
      </c>
      <c r="C19" s="2">
        <v>145</v>
      </c>
      <c r="D19" s="2">
        <f t="shared" si="0"/>
        <v>0.39083557951482478</v>
      </c>
    </row>
    <row r="20" spans="1:4">
      <c r="A20" s="1">
        <v>2018</v>
      </c>
      <c r="B20" s="2">
        <v>335</v>
      </c>
      <c r="C20" s="2">
        <v>108</v>
      </c>
      <c r="D20" s="2">
        <f t="shared" si="0"/>
        <v>0.32238805970149254</v>
      </c>
    </row>
    <row r="21" spans="1:4">
      <c r="A21" s="1">
        <v>2019</v>
      </c>
      <c r="B21" s="2">
        <v>436</v>
      </c>
      <c r="C21" s="2">
        <v>120</v>
      </c>
      <c r="D21" s="2">
        <f t="shared" si="0"/>
        <v>0.27522935779816515</v>
      </c>
    </row>
    <row r="22" spans="1:4">
      <c r="A22" s="1">
        <v>2020</v>
      </c>
      <c r="B22" s="2">
        <v>411</v>
      </c>
      <c r="C22" s="2">
        <v>132</v>
      </c>
      <c r="D22" s="2">
        <f t="shared" si="0"/>
        <v>0.32116788321167883</v>
      </c>
    </row>
    <row r="23" spans="1:4">
      <c r="A23" s="1">
        <v>2021</v>
      </c>
      <c r="B23" s="2">
        <v>438</v>
      </c>
      <c r="C23" s="2">
        <v>168</v>
      </c>
      <c r="D23" s="2">
        <f t="shared" si="0"/>
        <v>0.38356164383561642</v>
      </c>
    </row>
    <row r="24" spans="1:4">
      <c r="A24" s="1">
        <v>2022</v>
      </c>
      <c r="B24" s="2">
        <v>436</v>
      </c>
      <c r="C24" s="2">
        <v>144</v>
      </c>
      <c r="D24" s="2">
        <f t="shared" si="0"/>
        <v>0.33027522935779818</v>
      </c>
    </row>
    <row r="25" spans="1:4">
      <c r="A25" s="1">
        <v>2023</v>
      </c>
      <c r="B25" s="2">
        <v>460</v>
      </c>
      <c r="C25" s="2">
        <v>159</v>
      </c>
      <c r="D25" s="2">
        <f t="shared" si="0"/>
        <v>0.34565217391304348</v>
      </c>
    </row>
    <row r="26" spans="1:4">
      <c r="A26" s="1">
        <v>2024</v>
      </c>
      <c r="B26" s="2">
        <v>441</v>
      </c>
      <c r="C26" s="2">
        <v>174</v>
      </c>
      <c r="D26" s="2">
        <f t="shared" si="0"/>
        <v>0.39455782312925169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CB196-8DDD-4F58-BF1F-F73C8BA65DE7}">
  <dimension ref="A1:D26"/>
  <sheetViews>
    <sheetView workbookViewId="0">
      <selection activeCell="D26" sqref="A1:D26"/>
    </sheetView>
  </sheetViews>
  <sheetFormatPr defaultRowHeight="15.75"/>
  <cols>
    <col min="1" max="1" width="8.75" bestFit="1" customWidth="1"/>
    <col min="2" max="2" width="34.625" bestFit="1" customWidth="1"/>
    <col min="3" max="3" width="32" bestFit="1" customWidth="1"/>
    <col min="4" max="4" width="12.75" bestFit="1" customWidth="1"/>
  </cols>
  <sheetData>
    <row r="1" spans="1:4">
      <c r="A1" s="1" t="s">
        <v>0</v>
      </c>
      <c r="B1" s="1" t="s">
        <v>3</v>
      </c>
      <c r="C1" s="1" t="s">
        <v>1</v>
      </c>
      <c r="D1" s="1" t="s">
        <v>2</v>
      </c>
    </row>
    <row r="2" spans="1:4">
      <c r="A2" s="1">
        <v>2000</v>
      </c>
      <c r="B2">
        <v>16590</v>
      </c>
      <c r="C2">
        <v>1530</v>
      </c>
      <c r="D2" s="2">
        <f>C2/B2</f>
        <v>9.2224231464737794E-2</v>
      </c>
    </row>
    <row r="3" spans="1:4">
      <c r="A3" s="1">
        <v>2001</v>
      </c>
      <c r="B3">
        <v>39421</v>
      </c>
      <c r="C3">
        <v>3452</v>
      </c>
      <c r="D3" s="2">
        <f t="shared" ref="D3:D26" si="0">C3/B3</f>
        <v>8.7567540143578301E-2</v>
      </c>
    </row>
    <row r="4" spans="1:4">
      <c r="A4" s="1">
        <v>2002</v>
      </c>
      <c r="B4">
        <v>20891</v>
      </c>
      <c r="C4">
        <v>3839</v>
      </c>
      <c r="D4" s="2">
        <f t="shared" si="0"/>
        <v>0.18376334306639222</v>
      </c>
    </row>
    <row r="5" spans="1:4">
      <c r="A5" s="1">
        <v>2003</v>
      </c>
      <c r="B5">
        <v>113109</v>
      </c>
      <c r="C5">
        <v>72600</v>
      </c>
      <c r="D5" s="2">
        <f t="shared" si="0"/>
        <v>0.64185873803145643</v>
      </c>
    </row>
    <row r="6" spans="1:4">
      <c r="A6" s="1">
        <v>2004</v>
      </c>
      <c r="B6">
        <v>244705</v>
      </c>
      <c r="C6">
        <v>9070</v>
      </c>
      <c r="D6" s="2">
        <f t="shared" si="0"/>
        <v>3.7065037494125583E-2</v>
      </c>
    </row>
    <row r="7" spans="1:4">
      <c r="A7" s="1">
        <v>2005</v>
      </c>
      <c r="B7">
        <v>93495</v>
      </c>
      <c r="C7">
        <v>8417</v>
      </c>
      <c r="D7" s="2">
        <f t="shared" si="0"/>
        <v>9.0026204609872179E-2</v>
      </c>
    </row>
    <row r="8" spans="1:4">
      <c r="A8" s="1">
        <v>2006</v>
      </c>
      <c r="B8">
        <v>29863</v>
      </c>
      <c r="C8">
        <v>7818</v>
      </c>
      <c r="D8" s="2">
        <f t="shared" si="0"/>
        <v>0.2617955329337307</v>
      </c>
    </row>
    <row r="9" spans="1:4">
      <c r="A9" s="1">
        <v>2007</v>
      </c>
      <c r="B9">
        <v>22393</v>
      </c>
      <c r="C9">
        <v>11335</v>
      </c>
      <c r="D9" s="2">
        <f t="shared" si="0"/>
        <v>0.50618496851694728</v>
      </c>
    </row>
    <row r="10" spans="1:4">
      <c r="A10" s="1">
        <v>2008</v>
      </c>
      <c r="B10">
        <v>241993</v>
      </c>
      <c r="C10">
        <v>232490</v>
      </c>
      <c r="D10" s="2">
        <f t="shared" si="0"/>
        <v>0.96073026905736947</v>
      </c>
    </row>
    <row r="11" spans="1:4">
      <c r="A11" s="1">
        <v>2009</v>
      </c>
      <c r="B11">
        <v>16042</v>
      </c>
      <c r="C11">
        <v>5806</v>
      </c>
      <c r="D11" s="2">
        <f t="shared" si="0"/>
        <v>0.36192494701408801</v>
      </c>
    </row>
    <row r="12" spans="1:4">
      <c r="A12" s="1">
        <v>2010</v>
      </c>
      <c r="B12">
        <v>330167</v>
      </c>
      <c r="C12">
        <v>4956</v>
      </c>
      <c r="D12" s="2">
        <f t="shared" si="0"/>
        <v>1.5010585552159967E-2</v>
      </c>
    </row>
    <row r="13" spans="1:4">
      <c r="A13" s="1">
        <v>2011</v>
      </c>
      <c r="B13">
        <v>34124</v>
      </c>
      <c r="C13">
        <v>6024</v>
      </c>
      <c r="D13" s="2">
        <f t="shared" si="0"/>
        <v>0.17653264564529364</v>
      </c>
    </row>
    <row r="14" spans="1:4">
      <c r="A14" s="1">
        <v>2012</v>
      </c>
      <c r="B14">
        <v>11620</v>
      </c>
      <c r="C14">
        <v>2103</v>
      </c>
      <c r="D14" s="2">
        <f t="shared" si="0"/>
        <v>0.18098106712564543</v>
      </c>
    </row>
    <row r="15" spans="1:4">
      <c r="A15" s="1">
        <v>2013</v>
      </c>
      <c r="B15">
        <v>22213</v>
      </c>
      <c r="C15">
        <v>15311</v>
      </c>
      <c r="D15" s="2">
        <f t="shared" si="0"/>
        <v>0.68928105163642917</v>
      </c>
    </row>
    <row r="16" spans="1:4">
      <c r="A16" s="1">
        <v>2014</v>
      </c>
      <c r="B16">
        <v>20886</v>
      </c>
      <c r="C16">
        <v>4333</v>
      </c>
      <c r="D16" s="2">
        <f t="shared" si="0"/>
        <v>0.20745954227712343</v>
      </c>
    </row>
    <row r="17" spans="1:4">
      <c r="A17" s="1">
        <v>2015</v>
      </c>
      <c r="B17">
        <v>24332</v>
      </c>
      <c r="C17">
        <v>11634</v>
      </c>
      <c r="D17" s="2">
        <f t="shared" si="0"/>
        <v>0.47813578826237052</v>
      </c>
    </row>
    <row r="18" spans="1:4">
      <c r="A18" s="1">
        <v>2016</v>
      </c>
      <c r="B18">
        <v>10730</v>
      </c>
      <c r="C18">
        <v>3007</v>
      </c>
      <c r="D18" s="2">
        <f t="shared" si="0"/>
        <v>0.28024231127679405</v>
      </c>
    </row>
    <row r="19" spans="1:4">
      <c r="A19" s="1">
        <v>2017</v>
      </c>
      <c r="B19">
        <v>11912</v>
      </c>
      <c r="C19">
        <v>5421</v>
      </c>
      <c r="D19" s="2">
        <f t="shared" si="0"/>
        <v>0.45508730691739424</v>
      </c>
    </row>
    <row r="20" spans="1:4">
      <c r="A20" s="1">
        <v>2018</v>
      </c>
      <c r="B20">
        <v>15989</v>
      </c>
      <c r="C20">
        <v>3259</v>
      </c>
      <c r="D20" s="2">
        <f t="shared" si="0"/>
        <v>0.20382763149665395</v>
      </c>
    </row>
    <row r="21" spans="1:4">
      <c r="A21" s="1">
        <v>2019</v>
      </c>
      <c r="B21">
        <v>22668</v>
      </c>
      <c r="C21">
        <v>5415</v>
      </c>
      <c r="D21" s="2">
        <f t="shared" si="0"/>
        <v>0.23888300688194813</v>
      </c>
    </row>
    <row r="22" spans="1:4">
      <c r="A22" s="1">
        <v>2020</v>
      </c>
      <c r="B22">
        <v>15762</v>
      </c>
      <c r="C22">
        <v>5493</v>
      </c>
      <c r="D22" s="2">
        <f t="shared" si="0"/>
        <v>0.34849638370765129</v>
      </c>
    </row>
    <row r="23" spans="1:4">
      <c r="A23" s="1">
        <v>2021</v>
      </c>
      <c r="B23">
        <v>14619</v>
      </c>
      <c r="C23">
        <v>4630</v>
      </c>
      <c r="D23" s="2">
        <f t="shared" si="0"/>
        <v>0.31671112935221285</v>
      </c>
    </row>
    <row r="24" spans="1:4">
      <c r="A24" s="1">
        <v>2022</v>
      </c>
      <c r="B24">
        <v>80524</v>
      </c>
      <c r="C24">
        <v>7746</v>
      </c>
      <c r="D24" s="2">
        <f t="shared" si="0"/>
        <v>9.6194923252694853E-2</v>
      </c>
    </row>
    <row r="25" spans="1:4">
      <c r="A25" s="1">
        <v>2023</v>
      </c>
      <c r="B25">
        <v>139130</v>
      </c>
      <c r="C25">
        <v>23135</v>
      </c>
      <c r="D25" s="2">
        <f t="shared" si="0"/>
        <v>0.16628333213541294</v>
      </c>
    </row>
    <row r="26" spans="1:4">
      <c r="A26" s="1">
        <v>2024</v>
      </c>
      <c r="B26">
        <v>83518</v>
      </c>
      <c r="C26">
        <v>6335</v>
      </c>
      <c r="D26" s="2">
        <f t="shared" si="0"/>
        <v>7.585191216264757E-2</v>
      </c>
    </row>
  </sheetData>
  <conditionalFormatting sqref="D2:D2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{75102CDC-F160-4337-A57D-60C085599BAC}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5102CDC-F160-4337-A57D-60C085599B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D2:D26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Damage</vt:lpstr>
      <vt:lpstr>Count</vt:lpstr>
      <vt:lpstr>Death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Xu, Yuhan</dc:creator>
  <cp:lastModifiedBy>Xu, Yuhan</cp:lastModifiedBy>
  <dcterms:created xsi:type="dcterms:W3CDTF">2025-11-11T17:21:05Z</dcterms:created>
  <dcterms:modified xsi:type="dcterms:W3CDTF">2026-06-20T16:14:10Z</dcterms:modified>
</cp:coreProperties>
</file>